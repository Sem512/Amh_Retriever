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articipants" sheetId="2" state="visible" r:id="rId4"/>
    <sheet name="Tasks" sheetId="3" state="visible" r:id="rId5"/>
    <sheet name="SUS" sheetId="4" state="visible" r:id="rId6"/>
    <sheet name="Issues" sheetId="5" state="visible" r:id="rId7"/>
    <sheet name="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<sst xmlns="http://schemas.openxmlformats.org/spreadsheetml/2006/main" count="129" uniqueCount="117">
  <si>
    <t xml:space="preserve">UAT Scoring Workbook</t>
  </si>
  <si>
    <t xml:space="preserve">AI-Powered Amharic Document Digitization and Semantic Retrieval System · Task 11 (UAT)</t>
  </si>
  <si>
    <t xml:space="preserve">How to use</t>
  </si>
  <si>
    <t xml:space="preserve">1. Blue text cells are INPUT cells. Black cells are formulas: do not type over them.</t>
  </si>
  <si>
    <t xml:space="preserve">2. Participants sheet: one row per participant (use IDs P1, P2, ... not names).</t>
  </si>
  <si>
    <t xml:space="preserve">3. Tasks sheet: for each participant and task T1-T7 enter success code (Y = alone, H = with help, N = failed) and time in seconds. Leave the time BLANK when the participant failed (N), so that averages use successful attempts only.</t>
  </si>
  <si>
    <t xml:space="preserve">4. SUS sheet: enter the 10 answers (1-5) exactly as ticked on the form. The score is calculated automatically.</t>
  </si>
  <si>
    <t xml:space="preserve">5. Issues sheet: list the problems with severity 0-4 and number of participants affected.</t>
  </si>
  <si>
    <t xml:space="preserve">6. Summary sheet: copy these numbers into Section 8.4 of the report chapter.</t>
  </si>
  <si>
    <t xml:space="preserve">7. Row "EX" in each sheet is an EXAMPLE showing the format. It is NOT counted in any calculation. Replace or delete it.</t>
  </si>
  <si>
    <t xml:space="preserve">SUS scoring rule: odd items = answer - 1; even items = 5 - answer; sum x 2.5 (0-100). Benchmark: 68 = average usability (Sauro &amp; Lewis, 2016).</t>
  </si>
  <si>
    <t xml:space="preserve">Capacity: up to 9 participants (rows P1-P9); the proposal requires 5 to 8.</t>
  </si>
  <si>
    <t xml:space="preserve">Participant ID</t>
  </si>
  <si>
    <t xml:space="preserve">Group (student / staff / legal-research)</t>
  </si>
  <si>
    <t xml:space="preserve">Age band</t>
  </si>
  <si>
    <t xml:space="preserve">Searches Amharic docs (Never/Sometimes/Often)</t>
  </si>
  <si>
    <t xml:space="preserve">Computer comfort (1-5)</t>
  </si>
  <si>
    <t xml:space="preserve">Device (laptop/phone)</t>
  </si>
  <si>
    <t xml:space="preserve">Language of SUS form (am/en)</t>
  </si>
  <si>
    <t xml:space="preserve">Date of session</t>
  </si>
  <si>
    <t xml:space="preserve">EX</t>
  </si>
  <si>
    <t xml:space="preserve">student</t>
  </si>
  <si>
    <t xml:space="preserve">18-24</t>
  </si>
  <si>
    <t xml:space="preserve">Sometimes</t>
  </si>
  <si>
    <t xml:space="preserve">laptop</t>
  </si>
  <si>
    <t xml:space="preserve">am</t>
  </si>
  <si>
    <t xml:space="preserve">2026-10-20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</si>
  <si>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</si>
  <si>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</si>
  <si>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</si>
  <si>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</si>
  <si>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</si>
  <si>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</si>
  <si>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</si>
  <si>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</si>
  <si>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</si>
  <si>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T1 success</t>
  </si>
  <si>
    <t xml:space="preserve">T2 success</t>
  </si>
  <si>
    <t xml:space="preserve">T3 success</t>
  </si>
  <si>
    <t xml:space="preserve">T4 success</t>
  </si>
  <si>
    <t xml:space="preserve">T5 success</t>
  </si>
  <si>
    <t xml:space="preserve">T6 success</t>
  </si>
  <si>
    <t xml:space="preserve">T7 success</t>
  </si>
  <si>
    <t xml:space="preserve">T1 time (s)</t>
  </si>
  <si>
    <t xml:space="preserve">T2 time (s)</t>
  </si>
  <si>
    <t xml:space="preserve">T3 time (s)</t>
  </si>
  <si>
    <t xml:space="preserve">T4 time (s)</t>
  </si>
  <si>
    <t xml:space="preserve">T5 time (s)</t>
  </si>
  <si>
    <t xml:space="preserve">T6 time (s)</t>
  </si>
  <si>
    <t xml:space="preserve">T7 time (s)</t>
  </si>
  <si>
    <t xml:space="preserve">T1 SEQ (1-7)</t>
  </si>
  <si>
    <t xml:space="preserve">T2 SEQ (1-7)</t>
  </si>
  <si>
    <t xml:space="preserve">T3 SEQ (1-7)</t>
  </si>
  <si>
    <t xml:space="preserve">T4 SEQ (1-7)</t>
  </si>
  <si>
    <t xml:space="preserve">T5 SEQ (1-7)</t>
  </si>
  <si>
    <t xml:space="preserve">T6 SEQ (1-7)</t>
  </si>
  <si>
    <t xml:space="preserve">T7 SEQ (1-7)</t>
  </si>
  <si>
    <t xml:space="preserve">Success alone (count)</t>
  </si>
  <si>
    <t xml:space="preserve">Success rate alone</t>
  </si>
  <si>
    <t xml:space="preserve">Y</t>
  </si>
  <si>
    <t xml:space="preserve">H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</si>
  <si>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</si>
  <si>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</si>
  <si>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</si>
  <si>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</si>
  <si>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</si>
  <si>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</si>
  <si>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</si>
  <si>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</si>
  <si>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</si>
  <si>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</si>
  <si>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SUS score (0-100)</t>
  </si>
  <si>
    <t xml:space="preserve">Rating</t>
  </si>
  <si>
    <t xml:space="preserve">Items: Q1,3,5,7,9 positive (answer-1); Q2,4,6,8,10 negative (5-answer). Row EX is an example and is not counted in the Summary.</t>
  </si>
  <si>
    <t xml:space="preserve">#</t>
  </si>
  <si>
    <t xml:space="preserve">Screen / task</t>
  </si>
  <si>
    <t xml:space="preserve">Problem observed</t>
  </si>
  <si>
    <t xml:space="preserve">Participants affected (count)</t>
  </si>
  <si>
    <t xml:space="preserve">Severity (0-4)</t>
  </si>
  <si>
    <t xml:space="preserve">Proposed fix</t>
  </si>
  <si>
    <t xml:space="preserve">Status (open/fixed/retested)</t>
  </si>
  <si>
    <t xml:space="preserve">T2</t>
  </si>
  <si>
    <t xml:space="preserve">Participant did not notice the highlighted passage and scrolled past it</t>
  </si>
  <si>
    <t xml:space="preserve">Scroll highlight into view automatically</t>
  </si>
  <si>
    <t xml:space="preserve">fixed</t>
  </si>
  <si>
    <t xml:space="preserve">UAT Summary (example row EX excluded)</t>
  </si>
  <si>
    <t xml:space="preserve">Participants (n)</t>
  </si>
  <si>
    <t xml:space="preserve">Mean SUS score</t>
  </si>
  <si>
    <t xml:space="preserve">Median SUS score</t>
  </si>
  <si>
    <t xml:space="preserve">Std. deviation</t>
  </si>
  <si>
    <t xml:space="preserve">Minimum / Maximum</t>
  </si>
  <si>
    <t xml:space="preserve">95% confidence interval (+/-)</t>
  </si>
  <si>
    <t xml:space="preserve">Lower / upper bound</t>
  </si>
  <si>
    <t xml:space="preserve">Benchmark (average usability)</t>
  </si>
  <si>
    <t xml:space="preserve">Source: Sauro &amp; Lewis (2016); input assumption, may be changed.</t>
  </si>
  <si>
    <t xml:space="preserve">Meets benchmark (mean &gt;= 68)?</t>
  </si>
  <si>
    <t xml:space="preserve">Overall rating of the mean</t>
  </si>
  <si>
    <t xml:space="preserve">Per-task results</t>
  </si>
  <si>
    <t xml:space="preserve">Task</t>
  </si>
  <si>
    <t xml:space="preserve">Success alone (Y)</t>
  </si>
  <si>
    <t xml:space="preserve">With help (H)</t>
  </si>
  <si>
    <t xml:space="preserve">Failed (N)</t>
  </si>
  <si>
    <t xml:space="preserve">Success incl. help</t>
  </si>
  <si>
    <t xml:space="preserve">Mean time (s) of successes</t>
  </si>
  <si>
    <t xml:space="preserve">Median time (s)</t>
  </si>
  <si>
    <t xml:space="preserve">Mean ease (SEQ 1-7)</t>
  </si>
  <si>
    <t xml:space="preserve">T1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</si>
  <si>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</si>
  <si>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</si>
  <si>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</si>
  <si>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</si>
  <si>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</si>
  <si>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All tasks</t>
  </si>
  <si>
    <t xml:space="preserve">Targets: mean SUS &gt;= 68; success rate alone &gt;= 80% (row "All tasks", column E); median T1 time &lt;= 60 s.</t>
  </si>
  <si>
    <t xml:space="preserve">Success rate alone meets target (&gt;= 80%)?</t>
  </si>
  <si>
    <t xml:space="preserve">Median T1 time meets target (&lt;= 60 s)?</t>
  </si>
  <si>
    <t xml:space="preserve">Unresolved critical issues (severity 4, status not fixed/retested)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</si>
</sst>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E6A68"/>
        <bgColor rgb="FF008080"/>
      </patternFill>
    </fill>
    <fill>
      <patternFill patternType="solid">
        <fgColor rgb="FFF2F2F2"/>
        <bgColor rgb="FFEAF4F3"/>
      </patternFill>
    </fill>
    <fill>
      <patternFill patternType="solid">
        <fgColor rgb="FFEAF4F3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6A68"/>
      <rgbColor rgb="FFBBBBBB"/>
      <rgbColor rgb="FF878787"/>
      <rgbColor rgb="FF9999FF"/>
      <rgbColor rgb="FF993366"/>
      <rgbColor rgb="FFF2F2F2"/>
      <rgbColor rgb="FFEAF4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SUS score by participant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SUS!$A$2:$A$11</c:f>
              <c:strCache>
                <c:ptCount val="10"/>
                <c:pt idx="0">
                  <c:v>EX</c:v>
                </c:pt>
                <c:pt idx="1">
                  <c:v>P1</c:v>
                </c:pt>
                <c:pt idx="2">
                  <c:v>P2</c:v>
                </c:pt>
                <c:pt idx="3">
                  <c:v>P3</c:v>
                </c:pt>
                <c:pt idx="4">
                  <c:v>P4</c:v>
                </c:pt>
                <c:pt idx="5">
                  <c:v>P5</c:v>
                </c:pt>
                <c:pt idx="6">
                  <c:v>P6</c:v>
                </c:pt>
                <c:pt idx="7">
                  <c:v>P7</c:v>
                </c:pt>
                <c:pt idx="8">
                  <c:v>P8</c:v>
                </c:pt>
                <c:pt idx="9">
                  <c:v>P9</c:v>
                </c:pt>
              </c:strCache>
            </c:strRef>
          </c:cat>
          <c:val>
            <c:numRef>
              <c:f>SUS!$L$2:$L$11</c:f>
              <c:numCache>
                <c:formatCode>General</c:formatCode>
                <c:ptCount val="10"/>
                <c:pt idx="0">
                  <c:v>82.5</c:v>
                </c:pt>
              </c:numCache>
            </c:numRef>
          </c:val>
        </c:ser>
        <c:gapWidth val="150"/>
        <c:overlap val="0"/>
        <c:axId val="61117017"/>
        <c:axId val="21618176"/>
      </c:barChart>
      <c:catAx>
        <c:axId val="611170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618176"/>
        <c:crosses val="autoZero"/>
        <c:auto val="1"/>
        <c:lblAlgn val="ctr"/>
        <c:lblOffset val="100"/>
        <c:noMultiLvlLbl val="0"/>
      </c:catAx>
      <c:valAx>
        <c:axId val="21618176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SUS (0-100)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1170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</xdr:row>
      <xdr:rowOff>160560</xdr:rowOff>
    </xdr:from>
    <xdr:to>
      <xdr:col>19</xdr:col>
      <xdr:colOff>256320</xdr:colOff>
      <xdr:row>14</xdr:row>
      <xdr:rowOff>203760</xdr:rowOff>
    </xdr:to>
    <xdr:graphicFrame>
      <xdr:nvGraphicFramePr>
        <xdr:cNvPr id="0" name="Chart 1"/>
        <xdr:cNvGraphicFramePr/>
      </xdr:nvGraphicFramePr>
      <xdr:xfrm>
        <a:off x="11748240" y="3808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7" min="6" style="0" width="18"/>
    <col collapsed="false" customWidth="true" hidden="false" outlineLevel="0" max="8" min="8" style="0" width="16"/>
  </cols>
  <sheetData>
    <row r="1" customFormat="false" ht="26.85" hidden="false" customHeight="fals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 customFormat="false" ht="15" hidden="false" customHeight="false" outlineLevel="0" collapsed="false">
      <c r="A2" s="5" t="s">
        <v>20</v>
      </c>
      <c r="B2" s="5" t="s">
        <v>21</v>
      </c>
      <c r="C2" s="5" t="s">
        <v>22</v>
      </c>
      <c r="D2" s="5" t="s">
        <v>23</v>
      </c>
      <c r="E2" s="5" t="n">
        <v>4</v>
      </c>
      <c r="F2" s="5" t="s">
        <v>24</v>
      </c>
      <c r="G2" s="5" t="s">
        <v>25</v>
      </c>
      <c r="H2" s="5" t="s">
        <v>26</v>
      </c>
    </row>
    <row r="3" customFormat="false" ht="15" hidden="false" customHeight="false" outlineLevel="0" collapsed="false">
      <c r="A3" s="6" t="s">
        <v>27</v>
      </c>
      <c r="B3" s="6"/>
      <c r="C3" s="6"/>
      <c r="D3" s="6"/>
      <c r="E3" s="6"/>
      <c r="F3" s="6"/>
      <c r="G3" s="6"/>
      <c r="H3" s="6"/>
    </row>
    <row r="4" customFormat="false" ht="15" hidden="false" customHeight="false" outlineLevel="0" collapsed="false">
      <c r="A4" s="6" t="s">
        <v>28</v>
      </c>
      <c r="B4" s="6"/>
      <c r="C4" s="6"/>
      <c r="D4" s="6"/>
      <c r="E4" s="6"/>
      <c r="F4" s="6"/>
      <c r="G4" s="6"/>
      <c r="H4" s="6"/>
    </row>
    <row r="5" customFormat="false" ht="15" hidden="false" customHeight="false" outlineLevel="0" collapsed="false">
      <c r="A5" s="6" t="s">
        <v>29</v>
      </c>
      <c r="B5" s="6"/>
      <c r="C5" s="6"/>
      <c r="D5" s="6"/>
      <c r="E5" s="6"/>
      <c r="F5" s="6"/>
      <c r="G5" s="6"/>
      <c r="H5" s="6"/>
    </row>
    <row r="6" customFormat="false" ht="15" hidden="false" customHeight="false" outlineLevel="0" collapsed="false">
      <c r="A6" s="6" t="s">
        <v>30</v>
      </c>
      <c r="B6" s="6"/>
      <c r="C6" s="6"/>
      <c r="D6" s="6"/>
      <c r="E6" s="6"/>
      <c r="F6" s="6"/>
      <c r="G6" s="6"/>
      <c r="H6" s="6"/>
    </row>
    <row r="7" customFormat="false" ht="15" hidden="false" customHeight="false" outlineLevel="0" collapsed="false">
      <c r="A7" s="6" t="s">
        <v>31</v>
      </c>
      <c r="B7" s="6"/>
      <c r="C7" s="6"/>
      <c r="D7" s="6"/>
      <c r="E7" s="6"/>
      <c r="F7" s="6"/>
      <c r="G7" s="6"/>
      <c r="H7" s="6"/>
    </row>
    <row r="8" customFormat="false" ht="15" hidden="false" customHeight="false" outlineLevel="0" collapsed="false">
      <c r="A8" s="6" t="s">
        <v>32</v>
      </c>
      <c r="B8" s="6"/>
      <c r="C8" s="6"/>
      <c r="D8" s="6"/>
      <c r="E8" s="6"/>
      <c r="F8" s="6"/>
      <c r="G8" s="6"/>
      <c r="H8" s="6"/>
    </row>
    <row r="9" customFormat="false" ht="15" hidden="false" customHeight="false" outlineLevel="0" collapsed="false">
      <c r="A9" s="6" t="s">
        <v>33</v>
      </c>
      <c r="B9" s="6"/>
      <c r="C9" s="6"/>
      <c r="D9" s="6"/>
      <c r="E9" s="6"/>
      <c r="F9" s="6"/>
      <c r="G9" s="6"/>
      <c r="H9" s="6"/>
    </row>
    <row r="10" customFormat="false" ht="15" hidden="false" customHeight="false" outlineLevel="0" collapsed="false">
      <c r="A10" s="6" t="s">
        <v>34</v>
      </c>
      <c r="B10" s="6"/>
      <c r="C10" s="6"/>
      <c r="D10" s="6"/>
      <c r="E10" s="6"/>
      <c r="F10" s="6"/>
      <c r="G10" s="6"/>
      <c r="H10" s="6"/>
    </row>
    <row r="11" customFormat="false" ht="15" hidden="false" customHeight="false" outlineLevel="0" collapsed="false">
      <c r="A11" s="6" t="s">
        <v>35</v>
      </c>
      <c r="B11" s="6"/>
      <c r="C11" s="6"/>
      <c r="D11" s="6"/>
      <c r="E11" s="6"/>
      <c r="F11" s="6"/>
      <c r="G11" s="6"/>
      <c r="H1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2" style="0" width="10"/>
    <col collapsed="false" customWidth="true" hidden="false" outlineLevel="0" max="24" min="23" style="0" width="16"/>
  </cols>
  <sheetData>
    <row r="1" customFormat="false" ht="31.5" hidden="false" customHeight="true" outlineLevel="0" collapsed="false">
      <c r="A1" s="4" t="s">
        <v>12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43</v>
      </c>
      <c r="J1" s="4" t="s">
        <v>44</v>
      </c>
      <c r="K1" s="4" t="s">
        <v>45</v>
      </c>
      <c r="L1" s="4" t="s">
        <v>46</v>
      </c>
      <c r="M1" s="4" t="s">
        <v>47</v>
      </c>
      <c r="N1" s="4" t="s">
        <v>48</v>
      </c>
      <c r="O1" s="4" t="s">
        <v>49</v>
      </c>
      <c r="P1" s="4" t="s">
        <v>50</v>
      </c>
      <c r="Q1" s="4" t="s">
        <v>51</v>
      </c>
      <c r="R1" s="4" t="s">
        <v>52</v>
      </c>
      <c r="S1" s="4" t="s">
        <v>53</v>
      </c>
      <c r="T1" s="4" t="s">
        <v>54</v>
      </c>
      <c r="U1" s="4" t="s">
        <v>55</v>
      </c>
      <c r="V1" s="4" t="s">
        <v>56</v>
      </c>
      <c r="W1" s="4" t="s">
        <v>57</v>
      </c>
      <c r="X1" s="4" t="s">
        <v>58</v>
      </c>
    </row>
    <row r="2" customFormat="false" ht="15" hidden="false" customHeight="false" outlineLevel="0" collapsed="false">
      <c r="A2" s="5" t="s">
        <v>20</v>
      </c>
      <c r="B2" s="5" t="s">
        <v>59</v>
      </c>
      <c r="C2" s="5" t="s">
        <v>59</v>
      </c>
      <c r="D2" s="5" t="s">
        <v>60</v>
      </c>
      <c r="E2" s="5" t="s">
        <v>59</v>
      </c>
      <c r="F2" s="5" t="s">
        <v>59</v>
      </c>
      <c r="G2" s="5" t="s">
        <v>59</v>
      </c>
      <c r="H2" s="5" t="s">
        <v>59</v>
      </c>
      <c r="I2" s="5" t="n">
        <v>42</v>
      </c>
      <c r="J2" s="5" t="n">
        <v>25</v>
      </c>
      <c r="K2" s="5" t="n">
        <v>70</v>
      </c>
      <c r="L2" s="5" t="n">
        <v>38</v>
      </c>
      <c r="M2" s="5" t="n">
        <v>12</v>
      </c>
      <c r="N2" s="5" t="n">
        <v>95</v>
      </c>
      <c r="O2" s="5" t="n">
        <v>30</v>
      </c>
      <c r="P2" s="5" t="n">
        <v>6</v>
      </c>
      <c r="Q2" s="5" t="n">
        <v>6</v>
      </c>
      <c r="R2" s="5" t="n">
        <v>5</v>
      </c>
      <c r="S2" s="5" t="n">
        <v>6</v>
      </c>
      <c r="T2" s="5" t="n">
        <v>7</v>
      </c>
      <c r="U2" s="5" t="n">
        <v>5</v>
      </c>
      <c r="V2" s="5" t="n">
        <v>6</v>
      </c>
      <c r="W2" s="7" t="n">
        <f aca="false">COUNTIF(B2:H2,"Y")</f>
        <v>6</v>
      </c>
      <c r="X2" s="8" t="n">
        <f aca="false">IF(COUNTA(B2:H2)=0,"",W2/7)</f>
        <v>0.857142857142857</v>
      </c>
    </row>
    <row r="3" customFormat="false" ht="15" hidden="false" customHeight="false" outlineLevel="0" collapsed="false">
      <c r="A3" s="9" t="str">
        <f aca="false">IF(Participants!A3="","",Participants!A3)</f>
        <v>P1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10" t="n">
        <f aca="false">COUNTIF(B3:H3,"Y")</f>
        <v>0</v>
      </c>
      <c r="X3" s="11" t="str">
        <f aca="false">IF(COUNTA(B3:H3)=0,"",W3/7)</f>
        <v/>
      </c>
    </row>
    <row r="4" customFormat="false" ht="15" hidden="false" customHeight="false" outlineLevel="0" collapsed="false">
      <c r="A4" s="9" t="str">
        <f aca="false">IF(Participants!A4="","",Participants!A4)</f>
        <v>P2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10" t="n">
        <f aca="false">COUNTIF(B4:H4,"Y")</f>
        <v>0</v>
      </c>
      <c r="X4" s="11" t="str">
        <f aca="false">IF(COUNTA(B4:H4)=0,"",W4/7)</f>
        <v/>
      </c>
    </row>
    <row r="5" customFormat="false" ht="15" hidden="false" customHeight="false" outlineLevel="0" collapsed="false">
      <c r="A5" s="9" t="str">
        <f aca="false">IF(Participants!A5="","",Participants!A5)</f>
        <v>P3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10" t="n">
        <f aca="false">COUNTIF(B5:H5,"Y")</f>
        <v>0</v>
      </c>
      <c r="X5" s="11" t="str">
        <f aca="false">IF(COUNTA(B5:H5)=0,"",W5/7)</f>
        <v/>
      </c>
    </row>
    <row r="6" customFormat="false" ht="15" hidden="false" customHeight="false" outlineLevel="0" collapsed="false">
      <c r="A6" s="9" t="str">
        <f aca="false">IF(Participants!A6="","",Participants!A6)</f>
        <v>P4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10" t="n">
        <f aca="false">COUNTIF(B6:H6,"Y")</f>
        <v>0</v>
      </c>
      <c r="X6" s="11" t="str">
        <f aca="false">IF(COUNTA(B6:H6)=0,"",W6/7)</f>
        <v/>
      </c>
    </row>
    <row r="7" customFormat="false" ht="15" hidden="false" customHeight="false" outlineLevel="0" collapsed="false">
      <c r="A7" s="9" t="str">
        <f aca="false">IF(Participants!A7="","",Participants!A7)</f>
        <v>P5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10" t="n">
        <f aca="false">COUNTIF(B7:H7,"Y")</f>
        <v>0</v>
      </c>
      <c r="X7" s="11" t="str">
        <f aca="false">IF(COUNTA(B7:H7)=0,"",W7/7)</f>
        <v/>
      </c>
    </row>
    <row r="8" customFormat="false" ht="15" hidden="false" customHeight="false" outlineLevel="0" collapsed="false">
      <c r="A8" s="9" t="str">
        <f aca="false">IF(Participants!A8="","",Participants!A8)</f>
        <v>P6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10" t="n">
        <f aca="false">COUNTIF(B8:H8,"Y")</f>
        <v>0</v>
      </c>
      <c r="X8" s="11" t="str">
        <f aca="false">IF(COUNTA(B8:H8)=0,"",W8/7)</f>
        <v/>
      </c>
    </row>
    <row r="9" customFormat="false" ht="15" hidden="false" customHeight="false" outlineLevel="0" collapsed="false">
      <c r="A9" s="9" t="str">
        <f aca="false">IF(Participants!A9="","",Participants!A9)</f>
        <v>P7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10" t="n">
        <f aca="false">COUNTIF(B9:H9,"Y")</f>
        <v>0</v>
      </c>
      <c r="X9" s="11" t="str">
        <f aca="false">IF(COUNTA(B9:H9)=0,"",W9/7)</f>
        <v/>
      </c>
    </row>
    <row r="10" customFormat="false" ht="15" hidden="false" customHeight="false" outlineLevel="0" collapsed="false">
      <c r="A10" s="9" t="str">
        <f aca="false">IF(Participants!A10="","",Participants!A10)</f>
        <v>P8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10" t="n">
        <f aca="false">COUNTIF(B10:H10,"Y")</f>
        <v>0</v>
      </c>
      <c r="X10" s="11" t="str">
        <f aca="false">IF(COUNTA(B10:H10)=0,"",W10/7)</f>
        <v/>
      </c>
    </row>
    <row r="11" customFormat="false" ht="15" hidden="false" customHeight="false" outlineLevel="0" collapsed="false">
      <c r="A11" s="9" t="str">
        <f aca="false">IF(Participants!A11="","",Participants!A11)</f>
        <v>P9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10" t="n">
        <f aca="false">COUNTIF(B11:H11,"Y")</f>
        <v>0</v>
      </c>
      <c r="X11" s="11" t="str">
        <f aca="false">IF(COUNTA(B11:H11)=0,"",W11/7)</f>
        <v/>
      </c>
    </row>
  </sheetData>
  <dataValidations count="1">
    <dataValidation allowBlank="true" errorStyle="stop" operator="between" showDropDown="false" showErrorMessage="false" showInputMessage="false" sqref="B3:H11" type="list">
      <formula1>"Y,H,N"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1" min="2" style="0" width="7"/>
    <col collapsed="false" customWidth="true" hidden="false" outlineLevel="0" max="12" min="12" style="0" width="16"/>
    <col collapsed="false" customWidth="true" hidden="false" outlineLevel="0" max="13" min="13" style="0" width="34"/>
  </cols>
  <sheetData>
    <row r="1" customFormat="false" ht="26.85" hidden="false" customHeight="false" outlineLevel="0" collapsed="false">
      <c r="A1" s="4" t="s">
        <v>12</v>
      </c>
      <c r="B1" s="4" t="s">
        <v>61</v>
      </c>
      <c r="C1" s="4" t="s">
        <v>62</v>
      </c>
      <c r="D1" s="4" t="s">
        <v>63</v>
      </c>
      <c r="E1" s="4" t="s">
        <v>64</v>
      </c>
      <c r="F1" s="4" t="s">
        <v>65</v>
      </c>
      <c r="G1" s="4" t="s">
        <v>66</v>
      </c>
      <c r="H1" s="4" t="s">
        <v>67</v>
      </c>
      <c r="I1" s="4" t="s">
        <v>68</v>
      </c>
      <c r="J1" s="4" t="s">
        <v>69</v>
      </c>
      <c r="K1" s="4" t="s">
        <v>70</v>
      </c>
      <c r="L1" s="4" t="s">
        <v>71</v>
      </c>
      <c r="M1" s="4" t="s">
        <v>72</v>
      </c>
    </row>
    <row r="2" customFormat="false" ht="15" hidden="false" customHeight="false" outlineLevel="0" collapsed="false">
      <c r="A2" s="5" t="s">
        <v>20</v>
      </c>
      <c r="B2" s="5" t="n">
        <v>4</v>
      </c>
      <c r="C2" s="5" t="n">
        <v>2</v>
      </c>
      <c r="D2" s="5" t="n">
        <v>5</v>
      </c>
      <c r="E2" s="5" t="n">
        <v>1</v>
      </c>
      <c r="F2" s="5" t="n">
        <v>4</v>
      </c>
      <c r="G2" s="5" t="n">
        <v>2</v>
      </c>
      <c r="H2" s="5" t="n">
        <v>5</v>
      </c>
      <c r="I2" s="5" t="n">
        <v>2</v>
      </c>
      <c r="J2" s="5" t="n">
        <v>4</v>
      </c>
      <c r="K2" s="5" t="n">
        <v>2</v>
      </c>
      <c r="L2" s="7" t="n">
        <f aca="false">IF(COUNT(B2:K2)&lt;10,"",((B2-1)+(5-C2)+(D2-1)+(5-E2)+(F2-1)+(5-G2)+(H2-1)+(5-I2)+(J2-1)+(5-K2))*2.5)</f>
        <v>82.5</v>
      </c>
      <c r="M2" s="7" t="str">
        <f aca="false">IF(L2="","",IF(L2&gt;=80,"Excellent",IF(L2&gt;=68,"Good (average or above)",IF(L2&gt;=51,"OK, below average","Poor"))))</f>
        <v>Excellent</v>
      </c>
    </row>
    <row r="3" customFormat="false" ht="15" hidden="false" customHeight="false" outlineLevel="0" collapsed="false">
      <c r="A3" s="9" t="str">
        <f aca="false">IF(Participants!A3="","",Participants!A3)</f>
        <v>P1</v>
      </c>
      <c r="B3" s="6"/>
      <c r="C3" s="6"/>
      <c r="D3" s="6"/>
      <c r="E3" s="6"/>
      <c r="F3" s="6"/>
      <c r="G3" s="6"/>
      <c r="H3" s="6"/>
      <c r="I3" s="6"/>
      <c r="J3" s="6"/>
      <c r="K3" s="6"/>
      <c r="L3" s="10" t="str">
        <f aca="false">IF(COUNT(B3:K3)&lt;10,"",((B3-1)+(5-C3)+(D3-1)+(5-E3)+(F3-1)+(5-G3)+(H3-1)+(5-I3)+(J3-1)+(5-K3))*2.5)</f>
        <v/>
      </c>
      <c r="M3" s="10" t="str">
        <f aca="false">IF(L3="","",IF(L3&gt;=80,"Excellent",IF(L3&gt;=68,"Good (average or above)",IF(L3&gt;=51,"OK, below average","Poor"))))</f>
        <v/>
      </c>
    </row>
    <row r="4" customFormat="false" ht="15" hidden="false" customHeight="false" outlineLevel="0" collapsed="false">
      <c r="A4" s="9" t="str">
        <f aca="false">IF(Participants!A4="","",Participants!A4)</f>
        <v>P2</v>
      </c>
      <c r="B4" s="6"/>
      <c r="C4" s="6"/>
      <c r="D4" s="6"/>
      <c r="E4" s="6"/>
      <c r="F4" s="6"/>
      <c r="G4" s="6"/>
      <c r="H4" s="6"/>
      <c r="I4" s="6"/>
      <c r="J4" s="6"/>
      <c r="K4" s="6"/>
      <c r="L4" s="10" t="str">
        <f aca="false">IF(COUNT(B4:K4)&lt;10,"",((B4-1)+(5-C4)+(D4-1)+(5-E4)+(F4-1)+(5-G4)+(H4-1)+(5-I4)+(J4-1)+(5-K4))*2.5)</f>
        <v/>
      </c>
      <c r="M4" s="10" t="str">
        <f aca="false">IF(L4="","",IF(L4&gt;=80,"Excellent",IF(L4&gt;=68,"Good (average or above)",IF(L4&gt;=51,"OK, below average","Poor"))))</f>
        <v/>
      </c>
    </row>
    <row r="5" customFormat="false" ht="15" hidden="false" customHeight="false" outlineLevel="0" collapsed="false">
      <c r="A5" s="9" t="str">
        <f aca="false">IF(Participants!A5="","",Participants!A5)</f>
        <v>P3</v>
      </c>
      <c r="B5" s="6"/>
      <c r="C5" s="6"/>
      <c r="D5" s="6"/>
      <c r="E5" s="6"/>
      <c r="F5" s="6"/>
      <c r="G5" s="6"/>
      <c r="H5" s="6"/>
      <c r="I5" s="6"/>
      <c r="J5" s="6"/>
      <c r="K5" s="6"/>
      <c r="L5" s="10" t="str">
        <f aca="false">IF(COUNT(B5:K5)&lt;10,"",((B5-1)+(5-C5)+(D5-1)+(5-E5)+(F5-1)+(5-G5)+(H5-1)+(5-I5)+(J5-1)+(5-K5))*2.5)</f>
        <v/>
      </c>
      <c r="M5" s="10" t="str">
        <f aca="false">IF(L5="","",IF(L5&gt;=80,"Excellent",IF(L5&gt;=68,"Good (average or above)",IF(L5&gt;=51,"OK, below average","Poor"))))</f>
        <v/>
      </c>
    </row>
    <row r="6" customFormat="false" ht="15" hidden="false" customHeight="false" outlineLevel="0" collapsed="false">
      <c r="A6" s="9" t="str">
        <f aca="false">IF(Participants!A6="","",Participants!A6)</f>
        <v>P4</v>
      </c>
      <c r="B6" s="6"/>
      <c r="C6" s="6"/>
      <c r="D6" s="6"/>
      <c r="E6" s="6"/>
      <c r="F6" s="6"/>
      <c r="G6" s="6"/>
      <c r="H6" s="6"/>
      <c r="I6" s="6"/>
      <c r="J6" s="6"/>
      <c r="K6" s="6"/>
      <c r="L6" s="10" t="str">
        <f aca="false">IF(COUNT(B6:K6)&lt;10,"",((B6-1)+(5-C6)+(D6-1)+(5-E6)+(F6-1)+(5-G6)+(H6-1)+(5-I6)+(J6-1)+(5-K6))*2.5)</f>
        <v/>
      </c>
      <c r="M6" s="10" t="str">
        <f aca="false">IF(L6="","",IF(L6&gt;=80,"Excellent",IF(L6&gt;=68,"Good (average or above)",IF(L6&gt;=51,"OK, below average","Poor"))))</f>
        <v/>
      </c>
    </row>
    <row r="7" customFormat="false" ht="15" hidden="false" customHeight="false" outlineLevel="0" collapsed="false">
      <c r="A7" s="9" t="str">
        <f aca="false">IF(Participants!A7="","",Participants!A7)</f>
        <v>P5</v>
      </c>
      <c r="B7" s="6"/>
      <c r="C7" s="6"/>
      <c r="D7" s="6"/>
      <c r="E7" s="6"/>
      <c r="F7" s="6"/>
      <c r="G7" s="6"/>
      <c r="H7" s="6"/>
      <c r="I7" s="6"/>
      <c r="J7" s="6"/>
      <c r="K7" s="6"/>
      <c r="L7" s="10" t="str">
        <f aca="false">IF(COUNT(B7:K7)&lt;10,"",((B7-1)+(5-C7)+(D7-1)+(5-E7)+(F7-1)+(5-G7)+(H7-1)+(5-I7)+(J7-1)+(5-K7))*2.5)</f>
        <v/>
      </c>
      <c r="M7" s="10" t="str">
        <f aca="false">IF(L7="","",IF(L7&gt;=80,"Excellent",IF(L7&gt;=68,"Good (average or above)",IF(L7&gt;=51,"OK, below average","Poor"))))</f>
        <v/>
      </c>
    </row>
    <row r="8" customFormat="false" ht="15" hidden="false" customHeight="false" outlineLevel="0" collapsed="false">
      <c r="A8" s="9" t="str">
        <f aca="false">IF(Participants!A8="","",Participants!A8)</f>
        <v>P6</v>
      </c>
      <c r="B8" s="6"/>
      <c r="C8" s="6"/>
      <c r="D8" s="6"/>
      <c r="E8" s="6"/>
      <c r="F8" s="6"/>
      <c r="G8" s="6"/>
      <c r="H8" s="6"/>
      <c r="I8" s="6"/>
      <c r="J8" s="6"/>
      <c r="K8" s="6"/>
      <c r="L8" s="10" t="str">
        <f aca="false">IF(COUNT(B8:K8)&lt;10,"",((B8-1)+(5-C8)+(D8-1)+(5-E8)+(F8-1)+(5-G8)+(H8-1)+(5-I8)+(J8-1)+(5-K8))*2.5)</f>
        <v/>
      </c>
      <c r="M8" s="10" t="str">
        <f aca="false">IF(L8="","",IF(L8&gt;=80,"Excellent",IF(L8&gt;=68,"Good (average or above)",IF(L8&gt;=51,"OK, below average","Poor"))))</f>
        <v/>
      </c>
    </row>
    <row r="9" customFormat="false" ht="15" hidden="false" customHeight="false" outlineLevel="0" collapsed="false">
      <c r="A9" s="9" t="str">
        <f aca="false">IF(Participants!A9="","",Participants!A9)</f>
        <v>P7</v>
      </c>
      <c r="B9" s="6"/>
      <c r="C9" s="6"/>
      <c r="D9" s="6"/>
      <c r="E9" s="6"/>
      <c r="F9" s="6"/>
      <c r="G9" s="6"/>
      <c r="H9" s="6"/>
      <c r="I9" s="6"/>
      <c r="J9" s="6"/>
      <c r="K9" s="6"/>
      <c r="L9" s="10" t="str">
        <f aca="false">IF(COUNT(B9:K9)&lt;10,"",((B9-1)+(5-C9)+(D9-1)+(5-E9)+(F9-1)+(5-G9)+(H9-1)+(5-I9)+(J9-1)+(5-K9))*2.5)</f>
        <v/>
      </c>
      <c r="M9" s="10" t="str">
        <f aca="false">IF(L9="","",IF(L9&gt;=80,"Excellent",IF(L9&gt;=68,"Good (average or above)",IF(L9&gt;=51,"OK, below average","Poor"))))</f>
        <v/>
      </c>
    </row>
    <row r="10" customFormat="false" ht="15" hidden="false" customHeight="false" outlineLevel="0" collapsed="false">
      <c r="A10" s="9" t="str">
        <f aca="false">IF(Participants!A10="","",Participants!A10)</f>
        <v>P8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10" t="str">
        <f aca="false">IF(COUNT(B10:K10)&lt;10,"",((B10-1)+(5-C10)+(D10-1)+(5-E10)+(F10-1)+(5-G10)+(H10-1)+(5-I10)+(J10-1)+(5-K10))*2.5)</f>
        <v/>
      </c>
      <c r="M10" s="10" t="str">
        <f aca="false">IF(L10="","",IF(L10&gt;=80,"Excellent",IF(L10&gt;=68,"Good (average or above)",IF(L10&gt;=51,"OK, below average","Poor"))))</f>
        <v/>
      </c>
    </row>
    <row r="11" customFormat="false" ht="15" hidden="false" customHeight="false" outlineLevel="0" collapsed="false">
      <c r="A11" s="9" t="str">
        <f aca="false">IF(Participants!A11="","",Participants!A11)</f>
        <v>P9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10" t="str">
        <f aca="false">IF(COUNT(B11:K11)&lt;10,"",((B11-1)+(5-C11)+(D11-1)+(5-E11)+(F11-1)+(5-G11)+(H11-1)+(5-I11)+(J11-1)+(5-K11))*2.5)</f>
        <v/>
      </c>
      <c r="M11" s="10" t="str">
        <f aca="false">IF(L11="","",IF(L11&gt;=80,"Excellent",IF(L11&gt;=68,"Good (average or above)",IF(L11&gt;=51,"OK, below average","Poor"))))</f>
        <v/>
      </c>
    </row>
    <row r="13" customFormat="false" ht="15" hidden="false" customHeight="false" outlineLevel="0" collapsed="false">
      <c r="A13" s="12" t="s">
        <v>73</v>
      </c>
    </row>
  </sheetData>
  <dataValidations count="1">
    <dataValidation allowBlank="true" error="Enter a whole number from 1 to 5" errorStyle="stop" operator="between" showDropDown="false" showErrorMessage="true" showInputMessage="false" sqref="B2:K11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5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40"/>
    <col collapsed="false" customWidth="true" hidden="false" outlineLevel="0" max="7" min="7" style="0" width="22"/>
  </cols>
  <sheetData>
    <row r="1" customFormat="false" ht="39.55" hidden="false" customHeight="false" outlineLevel="0" collapsed="false">
      <c r="A1" s="4" t="s">
        <v>74</v>
      </c>
      <c r="B1" s="4" t="s">
        <v>75</v>
      </c>
      <c r="C1" s="4" t="s">
        <v>76</v>
      </c>
      <c r="D1" s="4" t="s">
        <v>77</v>
      </c>
      <c r="E1" s="4" t="s">
        <v>78</v>
      </c>
      <c r="F1" s="4" t="s">
        <v>79</v>
      </c>
      <c r="G1" s="4" t="s">
        <v>80</v>
      </c>
    </row>
    <row r="2" customFormat="false" ht="26.85" hidden="false" customHeight="false" outlineLevel="0" collapsed="false">
      <c r="A2" s="5" t="s">
        <v>20</v>
      </c>
      <c r="B2" s="5" t="s">
        <v>81</v>
      </c>
      <c r="C2" s="5" t="s">
        <v>82</v>
      </c>
      <c r="D2" s="5" t="n">
        <v>2</v>
      </c>
      <c r="E2" s="5" t="n">
        <v>3</v>
      </c>
      <c r="F2" s="5" t="s">
        <v>83</v>
      </c>
      <c r="G2" s="5" t="s">
        <v>84</v>
      </c>
    </row>
    <row r="3" customFormat="false" ht="15" hidden="false" customHeight="false" outlineLevel="0" collapsed="false">
      <c r="A3" s="6" t="n">
        <v>1</v>
      </c>
      <c r="B3" s="6"/>
      <c r="C3" s="6"/>
      <c r="D3" s="6"/>
      <c r="E3" s="6"/>
      <c r="F3" s="6"/>
      <c r="G3" s="6"/>
    </row>
    <row r="4" customFormat="false" ht="15" hidden="false" customHeight="false" outlineLevel="0" collapsed="false">
      <c r="A4" s="6" t="n">
        <v>2</v>
      </c>
      <c r="B4" s="6"/>
      <c r="C4" s="6"/>
      <c r="D4" s="6"/>
      <c r="E4" s="6"/>
      <c r="F4" s="6"/>
      <c r="G4" s="6"/>
    </row>
    <row r="5" customFormat="false" ht="15" hidden="false" customHeight="false" outlineLevel="0" collapsed="false">
      <c r="A5" s="6" t="n">
        <v>3</v>
      </c>
      <c r="B5" s="6"/>
      <c r="C5" s="6"/>
      <c r="D5" s="6"/>
      <c r="E5" s="6"/>
      <c r="F5" s="6"/>
      <c r="G5" s="6"/>
    </row>
    <row r="6" customFormat="false" ht="15" hidden="false" customHeight="false" outlineLevel="0" collapsed="false">
      <c r="A6" s="6" t="n">
        <v>4</v>
      </c>
      <c r="B6" s="6"/>
      <c r="C6" s="6"/>
      <c r="D6" s="6"/>
      <c r="E6" s="6"/>
      <c r="F6" s="6"/>
      <c r="G6" s="6"/>
    </row>
    <row r="7" customFormat="false" ht="15" hidden="false" customHeight="false" outlineLevel="0" collapsed="false">
      <c r="A7" s="6" t="n">
        <v>5</v>
      </c>
      <c r="B7" s="6"/>
      <c r="C7" s="6"/>
      <c r="D7" s="6"/>
      <c r="E7" s="6"/>
      <c r="F7" s="6"/>
      <c r="G7" s="6"/>
    </row>
    <row r="8" customFormat="false" ht="15" hidden="false" customHeight="false" outlineLevel="0" collapsed="false">
      <c r="A8" s="6" t="n">
        <v>6</v>
      </c>
      <c r="B8" s="6"/>
      <c r="C8" s="6"/>
      <c r="D8" s="6"/>
      <c r="E8" s="6"/>
      <c r="F8" s="6"/>
      <c r="G8" s="6"/>
    </row>
    <row r="9" customFormat="false" ht="15" hidden="false" customHeight="false" outlineLevel="0" collapsed="false">
      <c r="A9" s="6" t="n">
        <v>7</v>
      </c>
      <c r="B9" s="6"/>
      <c r="C9" s="6"/>
      <c r="D9" s="6"/>
      <c r="E9" s="6"/>
      <c r="F9" s="6"/>
      <c r="G9" s="6"/>
    </row>
    <row r="10" customFormat="false" ht="15" hidden="false" customHeight="false" outlineLevel="0" collapsed="false">
      <c r="A10" s="6" t="n">
        <v>8</v>
      </c>
      <c r="B10" s="6"/>
      <c r="C10" s="6"/>
      <c r="D10" s="6"/>
      <c r="E10" s="6"/>
      <c r="F10" s="6"/>
      <c r="G10" s="6"/>
    </row>
    <row r="11" customFormat="false" ht="15" hidden="false" customHeight="false" outlineLevel="0" collapsed="false">
      <c r="A11" s="6" t="n">
        <v>9</v>
      </c>
      <c r="B11" s="6"/>
      <c r="C11" s="6"/>
      <c r="D11" s="6"/>
      <c r="E11" s="6"/>
      <c r="F11" s="6"/>
      <c r="G11" s="6"/>
    </row>
    <row r="12" customFormat="false" ht="15" hidden="false" customHeight="false" outlineLevel="0" collapsed="false">
      <c r="A12" s="6" t="n">
        <v>10</v>
      </c>
      <c r="B12" s="6"/>
      <c r="C12" s="6"/>
      <c r="D12" s="6"/>
      <c r="E12" s="6"/>
      <c r="F12" s="6"/>
      <c r="G12" s="6"/>
    </row>
    <row r="13" customFormat="false" ht="15" hidden="false" customHeight="false" outlineLevel="0" collapsed="false">
      <c r="A13" s="6" t="n">
        <v>11</v>
      </c>
      <c r="B13" s="6"/>
      <c r="C13" s="6"/>
      <c r="D13" s="6"/>
      <c r="E13" s="6"/>
      <c r="F13" s="6"/>
      <c r="G13" s="6"/>
    </row>
    <row r="14" customFormat="false" ht="15" hidden="false" customHeight="false" outlineLevel="0" collapsed="false">
      <c r="A14" s="6" t="n">
        <v>12</v>
      </c>
      <c r="B14" s="6"/>
      <c r="C14" s="6"/>
      <c r="D14" s="6"/>
      <c r="E14" s="6"/>
      <c r="F14" s="6"/>
      <c r="G14" s="6"/>
    </row>
    <row r="15" customFormat="false" ht="15" hidden="false" customHeight="false" outlineLevel="0" collapsed="false">
      <c r="A15" s="6" t="n">
        <v>13</v>
      </c>
      <c r="B15" s="6"/>
      <c r="C15" s="6"/>
      <c r="D15" s="6"/>
      <c r="E15" s="6"/>
      <c r="F15" s="6"/>
      <c r="G15" s="6"/>
    </row>
    <row r="16" customFormat="false" ht="15" hidden="false" customHeight="false" outlineLevel="0" collapsed="false">
      <c r="A16" s="6" t="n">
        <v>14</v>
      </c>
      <c r="B16" s="6"/>
      <c r="C16" s="6"/>
      <c r="D16" s="6"/>
      <c r="E16" s="6"/>
      <c r="F16" s="6"/>
      <c r="G16" s="6"/>
    </row>
    <row r="17" customFormat="false" ht="15" hidden="false" customHeight="false" outlineLevel="0" collapsed="false">
      <c r="A17" s="6" t="n">
        <v>15</v>
      </c>
      <c r="B17" s="6"/>
      <c r="C17" s="6"/>
      <c r="D17" s="6"/>
      <c r="E17" s="6"/>
      <c r="F17" s="6"/>
      <c r="G17" s="6"/>
    </row>
    <row r="18" customFormat="false" ht="15" hidden="false" customHeight="false" outlineLevel="0" collapsed="false">
      <c r="A18" s="6" t="n">
        <v>16</v>
      </c>
      <c r="B18" s="6"/>
      <c r="C18" s="6"/>
      <c r="D18" s="6"/>
      <c r="E18" s="6"/>
      <c r="F18" s="6"/>
      <c r="G18" s="6"/>
    </row>
    <row r="19" customFormat="false" ht="15" hidden="false" customHeight="false" outlineLevel="0" collapsed="false">
      <c r="A19" s="6" t="n">
        <v>17</v>
      </c>
      <c r="B19" s="6"/>
      <c r="C19" s="6"/>
      <c r="D19" s="6"/>
      <c r="E19" s="6"/>
      <c r="F19" s="6"/>
      <c r="G19" s="6"/>
    </row>
    <row r="20" customFormat="false" ht="15" hidden="false" customHeight="false" outlineLevel="0" collapsed="false">
      <c r="A20" s="6" t="n">
        <v>18</v>
      </c>
      <c r="B20" s="6"/>
      <c r="C20" s="6"/>
      <c r="D20" s="6"/>
      <c r="E20" s="6"/>
      <c r="F20" s="6"/>
      <c r="G20" s="6"/>
    </row>
    <row r="21" customFormat="false" ht="15" hidden="false" customHeight="false" outlineLevel="0" collapsed="false">
      <c r="A21" s="6" t="n">
        <v>19</v>
      </c>
      <c r="B21" s="6"/>
      <c r="C21" s="6"/>
      <c r="D21" s="6"/>
      <c r="E21" s="6"/>
      <c r="F21" s="6"/>
      <c r="G21" s="6"/>
    </row>
    <row r="22" customFormat="false" ht="15" hidden="false" customHeight="false" outlineLevel="0" collapsed="false">
      <c r="A22" s="6" t="n">
        <v>20</v>
      </c>
      <c r="B22" s="6"/>
      <c r="C22" s="6"/>
      <c r="D22" s="6"/>
      <c r="E22" s="6"/>
      <c r="F22" s="6"/>
      <c r="G22" s="6"/>
    </row>
  </sheetData>
  <dataValidations count="1">
    <dataValidation allowBlank="true" errorStyle="stop" operator="between" showDropDown="false" showErrorMessage="false" showInputMessage="false" sqref="E3:E22" type="whole">
      <formula1>0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4"/>
  </cols>
  <sheetData>
    <row r="1" customFormat="false" ht="17.35" hidden="false" customHeight="false" outlineLevel="0" collapsed="false">
      <c r="A1" s="1" t="s">
        <v>85</v>
      </c>
    </row>
    <row r="3" customFormat="false" ht="15" hidden="false" customHeight="false" outlineLevel="0" collapsed="false">
      <c r="A3" s="3" t="s">
        <v>86</v>
      </c>
      <c r="B3" s="13" t="n">
        <f aca="false">COUNT(SUS!L3:L11)</f>
        <v>0</v>
      </c>
      <c r="C3" s="13"/>
    </row>
    <row r="4" customFormat="false" ht="15" hidden="false" customHeight="false" outlineLevel="0" collapsed="false">
      <c r="A4" s="3" t="s">
        <v>87</v>
      </c>
      <c r="B4" s="14" t="str">
        <f aca="false">IF(B3=0,"",AVERAGE(SUS!L3:L11))</f>
        <v/>
      </c>
      <c r="C4" s="14"/>
    </row>
    <row r="5" customFormat="false" ht="15" hidden="false" customHeight="false" outlineLevel="0" collapsed="false">
      <c r="A5" s="3" t="s">
        <v>88</v>
      </c>
      <c r="B5" s="14" t="str">
        <f aca="false">IF(B3=0,"",MEDIAN(SUS!L3:L11))</f>
        <v/>
      </c>
      <c r="C5" s="14"/>
    </row>
    <row r="6" customFormat="false" ht="15" hidden="false" customHeight="false" outlineLevel="0" collapsed="false">
      <c r="A6" s="3" t="s">
        <v>89</v>
      </c>
      <c r="B6" s="14" t="str">
        <f aca="false">IF(B3&lt;2,"",STDEV(SUS!L3:L11))</f>
        <v/>
      </c>
      <c r="C6" s="14"/>
    </row>
    <row r="7" customFormat="false" ht="15" hidden="false" customHeight="false" outlineLevel="0" collapsed="false">
      <c r="A7" s="3" t="s">
        <v>90</v>
      </c>
      <c r="B7" s="14" t="str">
        <f aca="false">IF(B3=0,"",MIN(SUS!L3:L11))</f>
        <v/>
      </c>
      <c r="C7" s="14" t="str">
        <f aca="false">IF(B3=0,"",MAX(SUS!L3:L11))</f>
        <v/>
      </c>
    </row>
    <row r="8" customFormat="false" ht="15" hidden="false" customHeight="false" outlineLevel="0" collapsed="false">
      <c r="A8" s="3" t="s">
        <v>91</v>
      </c>
      <c r="B8" s="14" t="str">
        <f aca="false">IF(B3&lt;2,"",TINV(0.05,B3-1)*B6/SQRT(B3))</f>
        <v/>
      </c>
      <c r="C8" s="14"/>
    </row>
    <row r="9" customFormat="false" ht="15" hidden="false" customHeight="false" outlineLevel="0" collapsed="false">
      <c r="A9" s="3" t="s">
        <v>92</v>
      </c>
      <c r="B9" s="14" t="str">
        <f aca="false">IF(B3&lt;2,"",B4-B8)</f>
        <v/>
      </c>
      <c r="C9" s="14" t="str">
        <f aca="false">IF(B3&lt;2,"",B4+B8)</f>
        <v/>
      </c>
    </row>
    <row r="10" customFormat="false" ht="15" hidden="false" customHeight="false" outlineLevel="0" collapsed="false">
      <c r="A10" s="3" t="s">
        <v>93</v>
      </c>
      <c r="B10" s="15" t="n">
        <v>68</v>
      </c>
      <c r="C10" s="13"/>
      <c r="D10" s="16" t="s">
        <v>94</v>
      </c>
    </row>
    <row r="11" customFormat="false" ht="15" hidden="false" customHeight="false" outlineLevel="0" collapsed="false">
      <c r="A11" s="3" t="s">
        <v>95</v>
      </c>
      <c r="B11" s="13" t="str">
        <f aca="false">IF(B3=0,"",IF(B4&gt;=B10,"YES","NO"))</f>
        <v/>
      </c>
      <c r="C11" s="13"/>
    </row>
    <row r="12" customFormat="false" ht="15" hidden="false" customHeight="false" outlineLevel="0" collapsed="false">
      <c r="A12" s="3" t="s">
        <v>96</v>
      </c>
      <c r="B12" s="13" t="str">
        <f aca="false">IF(B3=0,"",IF(B4&gt;=80,"Excellent",IF(B4&gt;=68,"Good (average or above)",IF(B4&gt;=51,"OK, below average","Poor"))))</f>
        <v/>
      </c>
      <c r="C12" s="13"/>
    </row>
    <row r="14" customFormat="false" ht="15" hidden="false" customHeight="false" outlineLevel="0" collapsed="false">
      <c r="A14" s="17" t="s">
        <v>97</v>
      </c>
    </row>
    <row r="15" customFormat="false" ht="42" hidden="false" customHeight="true" outlineLevel="0" collapsed="false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58</v>
      </c>
      <c r="F15" s="4" t="s">
        <v>102</v>
      </c>
      <c r="G15" s="4" t="s">
        <v>103</v>
      </c>
      <c r="H15" s="4" t="s">
        <v>104</v>
      </c>
      <c r="I15" s="4" t="s">
        <v>105</v>
      </c>
    </row>
    <row r="16" customFormat="false" ht="15" hidden="false" customHeight="false" outlineLevel="0" collapsed="false">
      <c r="A16" s="10" t="s">
        <v>106</v>
      </c>
      <c r="B16" s="10" t="n">
        <f aca="false">COUNTIF(Tasks!B3:B11,"Y")</f>
        <v>0</v>
      </c>
      <c r="C16" s="10" t="n">
        <f aca="false">COUNTIF(Tasks!B3:B11,"H")</f>
        <v>0</v>
      </c>
      <c r="D16" s="10" t="n">
        <f aca="false">COUNTIF(Tasks!B3:B11,"N")</f>
        <v>0</v>
      </c>
      <c r="E16" s="11" t="str">
        <f aca="false">IF(SUM(B16:D16)=0,"",B16/SUM(B16:D16))</f>
        <v/>
      </c>
      <c r="F16" s="11" t="str">
        <f aca="false">IF(SUM(B16:D16)=0,"",(B16+C16)/SUM(B16:D16))</f>
        <v/>
      </c>
      <c r="G16" s="18" t="str">
        <f aca="false">IF(COUNT(Tasks!I3:I11)=0,"",AVERAGE(Tasks!I3:I11))</f>
        <v/>
      </c>
      <c r="H16" s="18" t="str">
        <f aca="false">IF(COUNT(Tasks!I3:I11)=0,"",MEDIAN(Tasks!I3:I11))</f>
        <v/>
      </c>
      <c r="I16" s="18" t="str">
        <f aca="false">IF(COUNT(Tasks!P3:P11)=0,"",AVERAGE(Tasks!P3:P11))</f>
        <v/>
      </c>
    </row>
    <row r="17" customFormat="false" ht="15" hidden="false" customHeight="false" outlineLevel="0" collapsed="false">
      <c r="A17" s="10" t="s">
        <v>81</v>
      </c>
      <c r="B17" s="10" t="n">
        <f aca="false">COUNTIF(Tasks!C3:C11,"Y")</f>
        <v>0</v>
      </c>
      <c r="C17" s="10" t="n">
        <f aca="false">COUNTIF(Tasks!C3:C11,"H")</f>
        <v>0</v>
      </c>
      <c r="D17" s="10" t="n">
        <f aca="false">COUNTIF(Tasks!C3:C11,"N")</f>
        <v>0</v>
      </c>
      <c r="E17" s="11" t="str">
        <f aca="false">IF(SUM(B17:D17)=0,"",B17/SUM(B17:D17))</f>
        <v/>
      </c>
      <c r="F17" s="11" t="str">
        <f aca="false">IF(SUM(B17:D17)=0,"",(B17+C17)/SUM(B17:D17))</f>
        <v/>
      </c>
      <c r="G17" s="18" t="str">
        <f aca="false">IF(COUNT(Tasks!J3:J11)=0,"",AVERAGE(Tasks!J3:J11))</f>
        <v/>
      </c>
      <c r="H17" s="18" t="str">
        <f aca="false">IF(COUNT(Tasks!J3:J11)=0,"",MEDIAN(Tasks!J3:J11))</f>
        <v/>
      </c>
      <c r="I17" s="18" t="str">
        <f aca="false">IF(COUNT(Tasks!Q3:Q11)=0,"",AVERAGE(Tasks!Q3:Q11))</f>
        <v/>
      </c>
    </row>
    <row r="18" customFormat="false" ht="15" hidden="false" customHeight="false" outlineLevel="0" collapsed="false">
      <c r="A18" s="10" t="s">
        <v>107</v>
      </c>
      <c r="B18" s="10" t="n">
        <f aca="false">COUNTIF(Tasks!D3:D11,"Y")</f>
        <v>0</v>
      </c>
      <c r="C18" s="10" t="n">
        <f aca="false">COUNTIF(Tasks!D3:D11,"H")</f>
        <v>0</v>
      </c>
      <c r="D18" s="10" t="n">
        <f aca="false">COUNTIF(Tasks!D3:D11,"N")</f>
        <v>0</v>
      </c>
      <c r="E18" s="11" t="str">
        <f aca="false">IF(SUM(B18:D18)=0,"",B18/SUM(B18:D18))</f>
        <v/>
      </c>
      <c r="F18" s="11" t="str">
        <f aca="false">IF(SUM(B18:D18)=0,"",(B18+C18)/SUM(B18:D18))</f>
        <v/>
      </c>
      <c r="G18" s="18" t="str">
        <f aca="false">IF(COUNT(Tasks!K3:K11)=0,"",AVERAGE(Tasks!K3:K11))</f>
        <v/>
      </c>
      <c r="H18" s="18" t="str">
        <f aca="false">IF(COUNT(Tasks!K3:K11)=0,"",MEDIAN(Tasks!K3:K11))</f>
        <v/>
      </c>
      <c r="I18" s="18" t="str">
        <f aca="false">IF(COUNT(Tasks!R3:R11)=0,"",AVERAGE(Tasks!R3:R11))</f>
        <v/>
      </c>
    </row>
    <row r="19" customFormat="false" ht="15" hidden="false" customHeight="false" outlineLevel="0" collapsed="false">
      <c r="A19" s="10" t="s">
        <v>108</v>
      </c>
      <c r="B19" s="10" t="n">
        <f aca="false">COUNTIF(Tasks!E3:E11,"Y")</f>
        <v>0</v>
      </c>
      <c r="C19" s="10" t="n">
        <f aca="false">COUNTIF(Tasks!E3:E11,"H")</f>
        <v>0</v>
      </c>
      <c r="D19" s="10" t="n">
        <f aca="false">COUNTIF(Tasks!E3:E11,"N")</f>
        <v>0</v>
      </c>
      <c r="E19" s="11" t="str">
        <f aca="false">IF(SUM(B19:D19)=0,"",B19/SUM(B19:D19))</f>
        <v/>
      </c>
      <c r="F19" s="11" t="str">
        <f aca="false">IF(SUM(B19:D19)=0,"",(B19+C19)/SUM(B19:D19))</f>
        <v/>
      </c>
      <c r="G19" s="18" t="str">
        <f aca="false">IF(COUNT(Tasks!L3:L11)=0,"",AVERAGE(Tasks!L3:L11))</f>
        <v/>
      </c>
      <c r="H19" s="18" t="str">
        <f aca="false">IF(COUNT(Tasks!L3:L11)=0,"",MEDIAN(Tasks!L3:L11))</f>
        <v/>
      </c>
      <c r="I19" s="18" t="str">
        <f aca="false">IF(COUNT(Tasks!S3:S11)=0,"",AVERAGE(Tasks!S3:S11))</f>
        <v/>
      </c>
    </row>
    <row r="20" customFormat="false" ht="15" hidden="false" customHeight="false" outlineLevel="0" collapsed="false">
      <c r="A20" s="10" t="s">
        <v>109</v>
      </c>
      <c r="B20" s="10" t="n">
        <f aca="false">COUNTIF(Tasks!F3:F11,"Y")</f>
        <v>0</v>
      </c>
      <c r="C20" s="10" t="n">
        <f aca="false">COUNTIF(Tasks!F3:F11,"H")</f>
        <v>0</v>
      </c>
      <c r="D20" s="10" t="n">
        <f aca="false">COUNTIF(Tasks!F3:F11,"N")</f>
        <v>0</v>
      </c>
      <c r="E20" s="11" t="str">
        <f aca="false">IF(SUM(B20:D20)=0,"",B20/SUM(B20:D20))</f>
        <v/>
      </c>
      <c r="F20" s="11" t="str">
        <f aca="false">IF(SUM(B20:D20)=0,"",(B20+C20)/SUM(B20:D20))</f>
        <v/>
      </c>
      <c r="G20" s="18" t="str">
        <f aca="false">IF(COUNT(Tasks!M3:M11)=0,"",AVERAGE(Tasks!M3:M11))</f>
        <v/>
      </c>
      <c r="H20" s="18" t="str">
        <f aca="false">IF(COUNT(Tasks!M3:M11)=0,"",MEDIAN(Tasks!M3:M11))</f>
        <v/>
      </c>
      <c r="I20" s="18" t="str">
        <f aca="false">IF(COUNT(Tasks!T3:T11)=0,"",AVERAGE(Tasks!T3:T11))</f>
        <v/>
      </c>
    </row>
    <row r="21" customFormat="false" ht="15" hidden="false" customHeight="false" outlineLevel="0" collapsed="false">
      <c r="A21" s="10" t="s">
        <v>110</v>
      </c>
      <c r="B21" s="10" t="n">
        <f aca="false">COUNTIF(Tasks!G3:G11,"Y")</f>
        <v>0</v>
      </c>
      <c r="C21" s="10" t="n">
        <f aca="false">COUNTIF(Tasks!G3:G11,"H")</f>
        <v>0</v>
      </c>
      <c r="D21" s="10" t="n">
        <f aca="false">COUNTIF(Tasks!G3:G11,"N")</f>
        <v>0</v>
      </c>
      <c r="E21" s="11" t="str">
        <f aca="false">IF(SUM(B21:D21)=0,"",B21/SUM(B21:D21))</f>
        <v/>
      </c>
      <c r="F21" s="11" t="str">
        <f aca="false">IF(SUM(B21:D21)=0,"",(B21+C21)/SUM(B21:D21))</f>
        <v/>
      </c>
      <c r="G21" s="18" t="str">
        <f aca="false">IF(COUNT(Tasks!N3:N11)=0,"",AVERAGE(Tasks!N3:N11))</f>
        <v/>
      </c>
      <c r="H21" s="18" t="str">
        <f aca="false">IF(COUNT(Tasks!N3:N11)=0,"",MEDIAN(Tasks!N3:N11))</f>
        <v/>
      </c>
      <c r="I21" s="18" t="str">
        <f aca="false">IF(COUNT(Tasks!U3:U11)=0,"",AVERAGE(Tasks!U3:U11))</f>
        <v/>
      </c>
    </row>
    <row r="22" customFormat="false" ht="15" hidden="false" customHeight="false" outlineLevel="0" collapsed="false">
      <c r="A22" s="10" t="s">
        <v>111</v>
      </c>
      <c r="B22" s="10" t="n">
        <f aca="false">COUNTIF(Tasks!H3:H11,"Y")</f>
        <v>0</v>
      </c>
      <c r="C22" s="10" t="n">
        <f aca="false">COUNTIF(Tasks!H3:H11,"H")</f>
        <v>0</v>
      </c>
      <c r="D22" s="10" t="n">
        <f aca="false">COUNTIF(Tasks!H3:H11,"N")</f>
        <v>0</v>
      </c>
      <c r="E22" s="11" t="str">
        <f aca="false">IF(SUM(B22:D22)=0,"",B22/SUM(B22:D22))</f>
        <v/>
      </c>
      <c r="F22" s="11" t="str">
        <f aca="false">IF(SUM(B22:D22)=0,"",(B22+C22)/SUM(B22:D22))</f>
        <v/>
      </c>
      <c r="G22" s="18" t="str">
        <f aca="false">IF(COUNT(Tasks!O3:O11)=0,"",AVERAGE(Tasks!O3:O11))</f>
        <v/>
      </c>
      <c r="H22" s="18" t="str">
        <f aca="false">IF(COUNT(Tasks!O3:O11)=0,"",MEDIAN(Tasks!O3:O11))</f>
        <v/>
      </c>
      <c r="I22" s="18" t="str">
        <f aca="false">IF(COUNT(Tasks!V3:V11)=0,"",AVERAGE(Tasks!V3:V11))</f>
        <v/>
      </c>
    </row>
    <row r="23" customFormat="false" ht="15" hidden="false" customHeight="false" outlineLevel="0" collapsed="false">
      <c r="A23" s="19" t="s">
        <v>112</v>
      </c>
      <c r="B23" s="19" t="n">
        <f aca="false">SUM(B16:B22)</f>
        <v>0</v>
      </c>
      <c r="C23" s="19" t="n">
        <f aca="false">SUM(C16:C22)</f>
        <v>0</v>
      </c>
      <c r="D23" s="19" t="n">
        <f aca="false">SUM(D16:D22)</f>
        <v>0</v>
      </c>
      <c r="E23" s="20" t="str">
        <f aca="false">IF(SUM(B23:D23)=0,"",B23/SUM(B23:D23))</f>
        <v/>
      </c>
      <c r="F23" s="20" t="str">
        <f aca="false">IF(SUM(B23:D23)=0,"",(B23+C23)/SUM(B23:D23))</f>
        <v/>
      </c>
      <c r="G23" s="19"/>
      <c r="H23" s="19"/>
      <c r="I23" s="19"/>
    </row>
    <row r="25" customFormat="false" ht="15" hidden="false" customHeight="false" outlineLevel="0" collapsed="false">
      <c r="A25" s="12" t="s">
        <v>113</v>
      </c>
    </row>
    <row r="26" customFormat="false" ht="15" hidden="false" customHeight="false" outlineLevel="0" collapsed="false">
      <c r="A26" s="3" t="s">
        <v>114</v>
      </c>
      <c r="B26" s="13" t="str">
        <f aca="false">IF(E23="","",IF(E23&gt;=0.8,"YES","NO"))</f>
        <v/>
      </c>
    </row>
    <row r="27" customFormat="false" ht="15" hidden="false" customHeight="false" outlineLevel="0" collapsed="false">
      <c r="A27" s="3" t="s">
        <v>115</v>
      </c>
      <c r="B27" s="13" t="str">
        <f aca="false">IF(H16="","",IF(H16&lt;=60,"YES","NO"))</f>
        <v/>
      </c>
    </row>
    <row r="28" customFormat="false" ht="15" hidden="false" customHeight="false" outlineLevel="0" collapsed="false">
      <c r="A28" s="3" t="s">
        <v>116</v>
      </c>
      <c r="B28" s="13" t="n">
        <f aca="false">COUNTIF(Issues!E3:E22,4)-COUNTIFS(Issues!E3:E22,4,Issues!G3:G22,"fixed")-COUNTIFS(Issues!E3:E22,4,Issues!G3:G22,"retested")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2026-10-17T17:22:35Z</dcterms:created>
  <dc:creator>openpyxl</dc:creator>
  <dc:description/>
  <dc:language>en-US</dc:language>
  <cp:lastModifiedBy/>
  <dcterms:modified xsi:type="dcterms:W3CDTF">2026-10-17T20:22:37Z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